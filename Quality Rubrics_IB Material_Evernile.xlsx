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varunjhaveri/Downloads/"/>
    </mc:Choice>
  </mc:AlternateContent>
  <xr:revisionPtr revIDLastSave="0" documentId="8_{C4BE9EDE-D003-084B-BDB2-BAB0E9D54152}" xr6:coauthVersionLast="47" xr6:coauthVersionMax="47" xr10:uidLastSave="{00000000-0000-0000-0000-000000000000}"/>
  <bookViews>
    <workbookView xWindow="0" yWindow="600" windowWidth="28800" windowHeight="15780" activeTab="2" xr2:uid="{00000000-000D-0000-FFFF-FFFF00000000}"/>
  </bookViews>
  <sheets>
    <sheet name="Teaser" sheetId="1" r:id="rId1"/>
    <sheet name="IM_CIM" sheetId="2" r:id="rId2"/>
    <sheet name="Financial_Model" sheetId="3" r:id="rId3"/>
  </sheets>
  <definedNames>
    <definedName name="_xlnm.Print_Titles" localSheetId="2">Financial_Model!$8:$8</definedName>
    <definedName name="_xlnm.Print_Titles" localSheetId="1">IM_CIM!$8:$8</definedName>
    <definedName name="_xlnm.Print_Titles" localSheetId="0">Teaser!$8:$8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D6" i="2"/>
  <c r="F6" i="2" s="1"/>
  <c r="D6" i="1"/>
  <c r="F6" i="1" s="1"/>
</calcChain>
</file>

<file path=xl/sharedStrings.xml><?xml version="1.0" encoding="utf-8"?>
<sst xmlns="http://schemas.openxmlformats.org/spreadsheetml/2006/main" count="186" uniqueCount="174">
  <si>
    <t>TEASER: Quality Rubric</t>
  </si>
  <si>
    <t>Delivery timeline: 2 working days from source-doc receipt   |   Scoring: 1 (Not deliverable) to 5 (Institutional)   |   Overall = average of variable scores</t>
  </si>
  <si>
    <t>SCORE</t>
  </si>
  <si>
    <t>Weighted Avg:</t>
  </si>
  <si>
    <t>Grade:</t>
  </si>
  <si>
    <t>Variable</t>
  </si>
  <si>
    <t>Score</t>
  </si>
  <si>
    <t>Notes / Action</t>
  </si>
  <si>
    <t>1. Data Accuracy &amp; Sourcing</t>
  </si>
  <si>
    <t>Unsourced or fabricated numbers. Same figure differs across sections. Reader cannot trust the analysis.</t>
  </si>
  <si>
    <t>Most numbers present but unsourced. Reconciliation errors. Forward and historical mixed without labels.</t>
  </si>
  <si>
    <t>Numbers sourced but partial. A few gaps or unlabelled bases. Occasional inconsistency across sections.</t>
  </si>
  <si>
    <t>All numbers sourced with period and basis stated. Consistent across the document. Forward labelled as estimates.</t>
  </si>
  <si>
    <t>Every number traces to source doc. A/P/E labels on every table. Reconciled across every section and every KPI tile. Anchor contract value rounded if fingerprinting risk.</t>
  </si>
  <si>
    <t>2. Anonymity Discipline</t>
  </si>
  <si>
    <t>Company name visible in body, header, or image. Multiple identifiers (promoter name, anchor client, city, auditor) present.</t>
  </si>
  <si>
    <t>Company name removed. Promoter, anchor client, or specific geography still traceable.</t>
  </si>
  <si>
    <t>Most identifiers removed. One or two fingerprints remain (specific city, unusual asset count, marquee logo).</t>
  </si>
  <si>
    <t>All named identifiers removed. Description could still fingerprint on second read.</t>
  </si>
  <si>
    <t>3. Section Completeness</t>
  </si>
  <si>
    <t>Fewer than 5 of 8 sections present. Ask absent. Reader cannot navigate.</t>
  </si>
  <si>
    <t>5 to 6 of 8 sections. Anchor callout or use-of-funds missing. Ordering off.</t>
  </si>
  <si>
    <t>All major sections present. Some sub-blocks thin. Order broadly correct.</t>
  </si>
  <si>
    <t>All 8 sections in canonical order. Adviser contact and NDA gate present.</t>
  </si>
  <si>
    <t>5. Narrative &amp; Positioning</t>
  </si>
  <si>
    <t>No thesis. Product feature list. Founder-lens throughout.</t>
  </si>
  <si>
    <t>Weak thesis. Founder-lens dominant. Investor perspective absent.</t>
  </si>
  <si>
    <t>Clear thesis. Predominantly investor-lens. Some sections still founder-framed.</t>
  </si>
  <si>
    <t>Sharp one-line thesis threaded across 2 to 3 sections. Consistent investor-lens.</t>
  </si>
  <si>
    <t>One-line thesis in subtitle threaded through the anchor callout and the risk table. De-risking spine (contracted anchor, visibility, market position) visible on every page.</t>
  </si>
  <si>
    <t>6. Sector KPIs &amp; Benchmarks</t>
  </si>
  <si>
    <t>Generic revenue-only KPIs. No sector context.</t>
  </si>
  <si>
    <t>Basic sector mention. A few KPIs but not the highest-signal ones.</t>
  </si>
  <si>
    <t>Right sector KPIs present. Multiples not shown.</t>
  </si>
  <si>
    <t>Correct sector KPI set. Multiples range shown.</t>
  </si>
  <si>
    <t>Full Evernile sector KPI set (hospitals: occupancy, ARPOB, payor mix; pharma: PCPM, chronic mix; D2C: LTV:CAC, repeat; SaaS: NDR, Rule of 40). Sub-sector multiples with named generic comps.</t>
  </si>
  <si>
    <t>7. Risk &amp; Compliance</t>
  </si>
  <si>
    <t>No risk section. No or thin disclaimer.</t>
  </si>
  <si>
    <t>Generic risks without mitigants. Thin one-line disclaimer.</t>
  </si>
  <si>
    <t>3 to 4 risks. Standard disclaimer.</t>
  </si>
  <si>
    <t>4 to 5 risks with mitigants. Full disclaimer.</t>
  </si>
  <si>
    <t>Risk table pre-empts top 3 items diligence will surface, each with a quantified mitigant. Full disclaimer: advisor line, no-names basis, not-an-offer, do-not-contact, NDA gate.</t>
  </si>
  <si>
    <t>8. Formatting Consistency</t>
  </si>
  <si>
    <t>Inconsistent fonts, sizes, spacing throughout. Broken tables. Text overflow.</t>
  </si>
  <si>
    <t>Multiple format drifts. Misaligned tables. Page overflow.</t>
  </si>
  <si>
    <t>Formatting mostly consistent. Minor drifts.</t>
  </si>
  <si>
    <t>Consistent formatting. One or two imperfections.</t>
  </si>
  <si>
    <t>Font, size, spacing per Evernile spec on every page. Tables aligned with headers formatted. Page count 3 to 4 with no orphaned page. Footer and page numbering consistent. File named per convention.</t>
  </si>
  <si>
    <t>9. Timeline &amp; Turnaround (2 days)</t>
  </si>
  <si>
    <t>Delivered more than 48 hours late. Or on time with full rework required. Silent until reviewer chased.</t>
  </si>
  <si>
    <t>Delivered on Day 3 after 2 or more extension requests. Iterations poorly absorbed.</t>
  </si>
  <si>
    <t>Delivered on Day 2 with reviewer chase. One extension. Iterations required reminders.</t>
  </si>
  <si>
    <t>Delivered on Day 2 as promised. Iterations absorbed cleanly within 8 hours.</t>
  </si>
  <si>
    <t>Delivered on Day 1 or early Day 2 with buffer for review. Iterations turned within 4 hours. Proactive on gaps, dependencies, and edge cases before reviewer asks.</t>
  </si>
  <si>
    <t>INFORMATION MEMORANDUM (IM/CIM): Quality Rubric</t>
  </si>
  <si>
    <t>Delivery timeline: 14 working days from mandate kickoff   |   Scoring: 1 (Not deliverable) to 5 (Institutional)   |   Overall = average of variable scores</t>
  </si>
  <si>
    <t>1. Data Accuracy &amp; Consistency</t>
  </si>
  <si>
    <t>Contradictions between slides. Unsourced market claims. Revenue basis inconsistent.</t>
  </si>
  <si>
    <t>Some contradictions. Many claims unsourced. Basis (gross/net/MRP) not labelled.</t>
  </si>
  <si>
    <t>Consistent numbers but partial sourcing. Occasional basis unlabelled.</t>
  </si>
  <si>
    <t>Consistent across slides. All sources cited with year. Forward figures labelled.</t>
  </si>
  <si>
    <t>Single-source-of-truth data file. Every repeated figure identical everywhere. Sum of mix percentages equals 100 on every mix chart. Revenue basis (gross/net/MRP/invoice) labelled every appearance.</t>
  </si>
  <si>
    <t>2. Section Coverage</t>
  </si>
  <si>
    <t>Fewer than 30 slides. Multiple sections missing. Sector core block absent.</t>
  </si>
  <si>
    <t>30 to 40 slides. Sector core block absent or thin. Adjusted EBITDA bridge missing.</t>
  </si>
  <si>
    <t>40 to 48 slides. All major sections present. Some sub-sections thin.</t>
  </si>
  <si>
    <t>48 to 55 slides. All sections in correct order. Full appendix.</t>
  </si>
  <si>
    <t>48 to 55 slides plus full appendix. Sector core block (Slides 19 to 22) matches correct Part 3 module. Adjusted EBITDA bridge, transaction structure diagram, use of proceeds mapped to levers all present.</t>
  </si>
  <si>
    <t>3. Analytical Depth &amp; Modelability</t>
  </si>
  <si>
    <t>No decomposition. Unit economics absent. Analyst cannot build a model from the IM.</t>
  </si>
  <si>
    <t>Shallow analysis. Drivers not exposed. Growth stated as one number.</t>
  </si>
  <si>
    <t>Standard analysis. Growth split at one dimension. Some drivers exposed.</t>
  </si>
  <si>
    <t>Full decomposition (volume, mix, capacity). Unit economics quantified. Cohort chart on multi-unit business.</t>
  </si>
  <si>
    <t>External analyst can build 3-statement model from the IM alone with zero follow-up. Growth waterfall reconciles exactly to Section 5 projection. Cohort chart of actual ramp vs assumed for multi-unit businesses.</t>
  </si>
  <si>
    <t>4. Financial Analysis</t>
  </si>
  <si>
    <t>One-year snapshot only. No adjusted EBITDA bridge. No working capital view.</t>
  </si>
  <si>
    <t>3-year snapshot without projections or bridge. WC absent.</t>
  </si>
  <si>
    <t>3A+2P snapshot with basic assumption panel. WC days stated.</t>
  </si>
  <si>
    <t>5-year table plus adj EBITDA bridge plus WC days plus ageing.</t>
  </si>
  <si>
    <t>5yr (3A+2P) with revenue, GP%, EBITDA%, adj EBITDA%, PAT, net debt, ROCE. Full adj EBITDA bridge with every add-back evidenced and total below 25% of reported. DSO/DIO/DPO with ageing. EBITDA-to-OCF reconciliation. Base and conservative projection cases with delta drivers named.</t>
  </si>
  <si>
    <t>5. Narrative Quality</t>
  </si>
  <si>
    <t>Label titles ('Financials', 'Overview'). No thesis. No 'why now'.</t>
  </si>
  <si>
    <t>Occasional assertion titles. Weak thesis. 'Why now' generic.</t>
  </si>
  <si>
    <t>Half assertion titles. Clear thesis in executive summary. 'Why now' present.</t>
  </si>
  <si>
    <t>Most titles are assertions. Thesis threaded through sections. Six investment highlights.</t>
  </si>
  <si>
    <t>100% assertion titles with numbers ('Revenue compounded 34% with EBITDA margin expanding 480 bps'). One-sentence company description quotable and identical on Slides 1, 5, 7. Six investment highlights each cross-referenced to proving slide.</t>
  </si>
  <si>
    <t>6. Sector Expertise</t>
  </si>
  <si>
    <t>Generic KPIs. Wrong sub-sector multiples. No diligence pre-emption.</t>
  </si>
  <si>
    <t>Basic sector context. A few KPIs but not the highest-signal ones.</t>
  </si>
  <si>
    <t>Right sector framework. Correct KPI set. Multiples in range.</t>
  </si>
  <si>
    <t>Full sector KPI set. Correct sub-sector multiples with named comps.</t>
  </si>
  <si>
    <t>Complete Evernile playbook applied. Sector core block Slides 19 to 22 matches correct Part 3 module. Every diligence-sensitive item for the sector pre-empted (govt receivable ageing for hospitals; NLEM exposure for pharma; discount treatment for D2C; ARR definition for SaaS).</t>
  </si>
  <si>
    <t>7. Transaction Terms &amp; Ask</t>
  </si>
  <si>
    <t>Ask absent or buried. Structure unclear.</t>
  </si>
  <si>
    <t>Ask stated in body without structure or timeline.</t>
  </si>
  <si>
    <t>Quantum plus basic structure. Use of proceeds stated.</t>
  </si>
  <si>
    <t>Full structure with promoter continuity, lock-in, timeline, adviser contact.</t>
  </si>
  <si>
    <t>Explicit quantum, indicative stake range, primary/secondary split, structure contemplated (equity/CCPS/mix), promoter continuity + lock-in, board composition, key rights, timeline, adviser contact. Use of proceeds mapped 1:1 to growth levers. General corporate purposes below 10%.</t>
  </si>
  <si>
    <t>9. Formatting Consistency</t>
  </si>
  <si>
    <t>Inconsistent fonts, spacing, alignment. Typos. Broken tables. Text overflow.</t>
  </si>
  <si>
    <t>Multiple format drifts across slides. Some slides text-only.</t>
  </si>
  <si>
    <t>Mostly consistent. Minor drifts on a few slides.</t>
  </si>
  <si>
    <t>Consistent formatting. One or two imperfections. Every slide has a visual.</t>
  </si>
  <si>
    <t>Font, size, alignment per Evernile spec every slide. Footer, logo, page numbers on every slide. Every slide has a visual. Zero em or en dashes. File named per convention. No text overflow, no overlap.</t>
  </si>
  <si>
    <t>10. Timeline &amp; Turnaround (14 days)</t>
  </si>
  <si>
    <t>Delivered more than 3 days late. Or on time with full rework required. Silent on progress.</t>
  </si>
  <si>
    <t>Delivered Day 15 to 16 with multiple extensions. Iterations poorly absorbed.</t>
  </si>
  <si>
    <t>Delivered Day 14 with reviewer chase. Wireframe approval late.</t>
  </si>
  <si>
    <t>Delivered Day 14 as promised. Iterations absorbed cleanly within 24 hours.</t>
  </si>
  <si>
    <t>Wireframe approved by Day 3. First draft by Day 10. Final Day 13 with buffer for partner review. Iterations turned within 24 hours. Proactive on data gaps flagged to client.</t>
  </si>
  <si>
    <t>FINANCIAL MODEL: Quality Rubric</t>
  </si>
  <si>
    <t>Delivery timeline: 7 working days from data-room access   |   Scoring: 1 (Not deliverable) to 5 (Institutional)   |   Overall = average of variable scores</t>
  </si>
  <si>
    <t>1. Model Architecture &amp; Sheet Hierarchy</t>
  </si>
  <si>
    <t>Random sheet order. No logical tiers. Sheets named 'Sheet1'.</t>
  </si>
  <si>
    <t>Some structure but supporting schedules missing.</t>
  </si>
  <si>
    <t>Correct 6-tier structure. Some sheets missing.</t>
  </si>
  <si>
    <t>Full sheet hierarchy. Scenario selector working.</t>
  </si>
  <si>
    <t>Cover / Assumptions / Scenario / Revenue Build / Unit Economics / P&amp;L / BS / CF / PPE / Debt / WC / Depn / Tax / DCF / WACC / Comps / LBO / Football Field / Checks / Sensitivities. Hyperlink navigation from cover. Every sheet descriptively named.</t>
  </si>
  <si>
    <t>2. Three-Statement Integration</t>
  </si>
  <si>
    <t>Balance sheet does not balance. CF not linked to BS. Interest hardcoded.</t>
  </si>
  <si>
    <t>Balances in history only. Multiple plugs. CF partly linked.</t>
  </si>
  <si>
    <t>Balances with soft plug. CF and BS partly linked.</t>
  </si>
  <si>
    <t>Balances every year without plug. CF fully linked to BS.</t>
  </si>
  <si>
    <t>BS balances every year without plug. CF opening = prior closing every year. Interest = avg balance x rate from debt schedule. Depn from PPE schedule flows to P&amp;L. Accumulated depn &lt;= gross block every year. Closing cash = BS cash every year.</t>
  </si>
  <si>
    <t>3. Revenue Build</t>
  </si>
  <si>
    <t>Top-down growth percentage only. No volume-price split. Sector template not applied.</t>
  </si>
  <si>
    <t>One segment volume-price split. Assumptions hardcoded inside formulas.</t>
  </si>
  <si>
    <t>Multiple segments with soft assumption exposure.</t>
  </si>
  <si>
    <t>Full segment build with assumptions on Assumptions sheet.</t>
  </si>
  <si>
    <t>Sector-appropriate build (hospitals: bed x occupancy x ARPOB; diagnostics: centre x tests x realization; SaaS: opening ARR + new + expansion - churn; D2C: channel x conversion x AOV; manufacturing: capacity x utilization x realization). Every driver on Assumptions sheet. Monthly for early-stage, annual for mature.</t>
  </si>
  <si>
    <t>4. Valuation Methods</t>
  </si>
  <si>
    <t>Single method or wrong formulas. No WACC build.</t>
  </si>
  <si>
    <t>DCF with errors. Fewer than 4 comps. Terminal method missing.</t>
  </si>
  <si>
    <t>DCF correct with single terminal method. 5 to 7 comps.</t>
  </si>
  <si>
    <t>DCF plus Comps plus Precedent. Both terminal methods. India WACC.</t>
  </si>
  <si>
    <t>DCF (FCFF and FCFE) with Gordon Growth and Exit Multiple terminal. 8 to 15 trading comps (LTM and NTM). 6 to 12 precedent transactions. LBO with 3 sensitivity grids. Football Field aggregating all methods with midpoint. India WACC (10yr G-Sec, Damodaran ERP 8-10%, beta unlevered and relevered, size premium).</t>
  </si>
  <si>
    <t>5. Sensitivity &amp; Scenarios</t>
  </si>
  <si>
    <t>No sensitivity tables. Single case only.</t>
  </si>
  <si>
    <t>One-way sensitivity. Two scenarios via manual edits.</t>
  </si>
  <si>
    <t>Two-way DCF sensitivity. Three scenarios but incomplete cascade.</t>
  </si>
  <si>
    <t>Full sensitivity tables. Scenario switch cascades cleanly.</t>
  </si>
  <si>
    <t>DCF sensitivity WACC +/- 200bps x terminal growth +/- 100bps. LBO grids: entry x exit multiple, revenue growth x exit margin, leverage x sweep. Base/Upside/Downside scenarios cascade through entire model with delta drivers named on each scenario.</t>
  </si>
  <si>
    <t>6. Checks &amp; Integrity</t>
  </si>
  <si>
    <t>No check sheet. Multiple circular references.</t>
  </si>
  <si>
    <t>1 to 2 checks. Circular refs unresolved.</t>
  </si>
  <si>
    <t>3 to 5 checks working. Occasional errors.</t>
  </si>
  <si>
    <t>All 7 checks green. No circular references.</t>
  </si>
  <si>
    <t>All 7 mandatory checks green every year: BS balance, CF-cash tie, debt tie, revenue tie, WC tie, tax rate, accumulated depn. Zero circular references. Conditional formatting flags failures instantly. Sum of segment splits equals total on every reconciliation.</t>
  </si>
  <si>
    <t>7. Assumption Transparency</t>
  </si>
  <si>
    <t>All hardcodes inside formulas. No consolidated Assumptions sheet.</t>
  </si>
  <si>
    <t>Some assumptions consolidated. Many still buried in formulas.</t>
  </si>
  <si>
    <t>Most assumptions on Assumptions sheet.</t>
  </si>
  <si>
    <t>All assumptions on Assumptions sheet with source column.</t>
  </si>
  <si>
    <t>Every input on Assumptions sheet in blue with driver, unit, value, source, comment, sensitivity range. Single source of truth. Scenario-ready. Zero hardcodes in formulas anywhere in the model.</t>
  </si>
  <si>
    <t>8. Colour Coding &amp; Number Formatting</t>
  </si>
  <si>
    <t>Default Excel. No color coding. Wrong number formats. Years as numbers.</t>
  </si>
  <si>
    <t>Some color coding. Inconsistent formats. Percentages without decimals.</t>
  </si>
  <si>
    <t>Blue inputs, black formulas mostly. Some drift on cross-sheet links.</t>
  </si>
  <si>
    <t>Full color code discipline. Correct number formats.</t>
  </si>
  <si>
    <t>Blue inputs, black formulas, green cross-sheet links, red external links. FY2025 as text not 2,025. INR #,##0 with USD conversion footnoted. Percentages 0.0%. Negatives in parens. Zeros as '-'. Historical gray fill, projected white. A/P/E/F markers on every column header.</t>
  </si>
  <si>
    <t>9. Documentation &amp; Print-Readiness</t>
  </si>
  <si>
    <t>No cover. No instructions. Sheets unnamed. Not print-ready.</t>
  </si>
  <si>
    <t>Cover with headline number only. Print settings default.</t>
  </si>
  <si>
    <t>Cover with KPIs. Sheets named. Print header partial.</t>
  </si>
  <si>
    <t>Cover with KPIs and valuation summary. Print-ready.</t>
  </si>
  <si>
    <t>Cover with executive summary, key outputs, valuation summary, sensitivity heatmap, model version and date, scenario cell reference, color code legend. Print header 'Evernile Capital | Client | Confidential' on every sheet. Freeze panes on labels row. Landscape fit-to-width. File under 10MB.</t>
  </si>
  <si>
    <t>10. Timeline &amp; Turnaround (7 days)</t>
  </si>
  <si>
    <t>Delivered more than 2 days late. Or on time with full rework required.</t>
  </si>
  <si>
    <t>Delivered Day 8 to 9 with multiple extensions. Iterations poorly absorbed.</t>
  </si>
  <si>
    <t>Delivered Day 7 with reviewer chase. Checks not run before submission.</t>
  </si>
  <si>
    <t>Delivered Day 7 as promised. Iterations absorbed cleanly within 12 hours.</t>
  </si>
  <si>
    <t>Draft model by Day 5. Valuation triangulation by Day 6. Final Day 7 with buffer. All 7 checks green before submission. Iterations turned within 12 hours. Proactive on data gaps flagged to client.</t>
  </si>
  <si>
    <t>Codename applied. Only described by type and scale only. No searchable heritage or award detail.</t>
  </si>
  <si>
    <t>All 8 sections (masthead + 01 opportunity, 02 problem/solution, 03 business model, 04 traction, 05 anchor/key differentiator, 06 market, 07 financials, 08 ask). 3 to 4 pages, no orphaned trailing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</si>
</sst>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i/>
      <sz val="10"/>
      <color rgb="FF333333"/>
      <name val="Calibri"/>
      <family val="2"/>
    </font>
    <font>
      <b/>
      <sz val="11"/>
      <color rgb="FF1B2A4A"/>
      <name val="Calibri"/>
      <family val="2"/>
    </font>
    <font>
      <b/>
      <sz val="10"/>
      <color rgb="FF1B2A4A"/>
      <name val="Calibri"/>
      <family val="2"/>
    </font>
    <font>
      <b/>
      <sz val="10"/>
      <color rgb="FFFFFFFF"/>
      <name val="Calibri"/>
      <family val="2"/>
    </font>
    <font>
      <b/>
      <sz val="10.5"/>
      <color rgb="FFFFFFFF"/>
      <name val="Calibri"/>
      <family val="2"/>
    </font>
    <font>
      <sz val="9.5"/>
      <color rgb="FF333333"/>
      <name val="Calibri"/>
      <family val="2"/>
    </font>
    <font>
      <b/>
      <sz val="12"/>
      <color rgb="FF1B2A4A"/>
      <name val="Calibri"/>
      <family val="2"/>
    </font>
    <font>
      <b/>
      <sz val="13"/>
      <color rgb="FF1B2A4A"/>
      <name val="Calibri"/>
      <family val="2"/>
    </font>
    <font>
      <b/>
      <sz val="13"/>
      <color rgb="FF2B5C8A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C8102E"/>
      </patternFill>
    </fill>
    <fill>
      <patternFill patternType="solid">
        <fgColor rgb="FF8B1A1A"/>
      </patternFill>
    </fill>
    <fill>
      <patternFill patternType="solid">
        <fgColor rgb="FFB04A22"/>
      </patternFill>
    </fill>
    <fill>
      <patternFill patternType="solid">
        <fgColor rgb="FFC48A2F"/>
      </patternFill>
    </fill>
    <fill>
      <patternFill patternType="solid">
        <fgColor rgb="FF5A8F3C"/>
      </patternFill>
    </fill>
    <fill>
      <patternFill patternType="solid">
        <fgColor rgb="FF2E7D32"/>
      </patternFill>
    </fill>
    <fill>
      <patternFill patternType="solid">
        <fgColor rgb="FFFFF9E6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1"/>
    <xf numFmtId="0" fontId="3" fillId="0" borderId="0" xfId="0" applyFont="1"/>
    <xf numFmtId="0" fontId="4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8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top" wrapText="1"/>
    </xf>
    <xf numFmtId="20" fontId="5" fillId="6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16"/>
  <sheetViews>
    <sheetView showGridLines="0" zoomScale="137" workbookViewId="0">
      <pane xSplit="2" ySplit="8" topLeftCell="C9" activePane="bottomRight" state="frozen"/>
      <selection pane="topRight"/>
      <selection pane="bottomLeft"/>
      <selection pane="bottomRight" activeCell="E13" sqref="E13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7" width="36" customWidth="1"/>
    <col min="8" max="8" width="8" customWidth="1"/>
    <col min="9" max="9" width="30" customWidth="1"/>
  </cols>
  <sheetData>
    <row r="2" spans="2:9" ht="28" customHeight="1" x14ac:dyDescent="0.2">
      <c r="B2" s="17" t="s">
        <v>0</v>
      </c>
      <c r="C2" s="18"/>
      <c r="D2" s="18"/>
      <c r="E2" s="18"/>
      <c r="F2" s="18"/>
      <c r="G2" s="18"/>
      <c r="H2" s="18"/>
      <c r="I2" s="18"/>
    </row>
    <row r="3" spans="2:9" ht="3" customHeight="1" x14ac:dyDescent="0.2">
      <c r="B3" s="1"/>
      <c r="C3" s="1"/>
      <c r="D3" s="1"/>
      <c r="E3" s="1"/>
      <c r="F3" s="1"/>
      <c r="G3" s="1"/>
      <c r="H3" s="1"/>
      <c r="I3" s="1"/>
    </row>
    <row r="4" spans="2:9" ht="22" customHeight="1" x14ac:dyDescent="0.2">
      <c r="B4" s="19" t="s">
        <v>1</v>
      </c>
      <c r="C4" s="18"/>
      <c r="D4" s="18"/>
      <c r="E4" s="18"/>
      <c r="F4" s="18"/>
      <c r="G4" s="18"/>
      <c r="H4" s="18"/>
      <c r="I4" s="18"/>
    </row>
    <row r="6" spans="2:9" ht="17" x14ac:dyDescent="0.2">
      <c r="B6" s="2" t="s">
        <v>2</v>
      </c>
      <c r="C6" s="3" t="s">
        <v>3</v>
      </c>
      <c r="D6" s="4" t="str">
        <f>IFERROR(AVERAGE(H9:H16),"-")</f>
        <v>-</v>
      </c>
      <c r="E6" s="3" t="s">
        <v>4</v>
      </c>
      <c r="F6" s="5" t="str">
        <f>IF(ISNUMBER(D6),IF(D6&gt;=4.5,"Institutional",IF(D6&gt;=4,"Strong",IF(D6&gt;=3.5,"Solid",IF(D6&gt;=3,"Acceptable",IF(D6&gt;=2,"Rework","Fail"))))),"Pending")</f>
        <v>Pending</v>
      </c>
    </row>
    <row r="8" spans="2:9" ht="30" customHeight="1" x14ac:dyDescent="0.2">
      <c r="B8" s="6" t="s">
        <v>5</v>
      </c>
      <c r="C8" s="7">
        <v>1</v>
      </c>
      <c r="D8" s="8">
        <v>2</v>
      </c>
      <c r="E8" s="16">
        <v>3</v>
      </c>
      <c r="F8" s="10">
        <v>4</v>
      </c>
      <c r="G8" s="11">
        <v>5</v>
      </c>
      <c r="H8" s="6" t="s">
        <v>6</v>
      </c>
      <c r="I8" s="6" t="s">
        <v>7</v>
      </c>
    </row>
    <row r="9" spans="2:9" ht="105" customHeight="1" x14ac:dyDescent="0.2">
      <c r="B9" s="12" t="s">
        <v>8</v>
      </c>
      <c r="C9" s="13" t="s">
        <v>9</v>
      </c>
      <c r="D9" s="13" t="s">
        <v>10</v>
      </c>
      <c r="E9" s="13" t="s">
        <v>11</v>
      </c>
      <c r="F9" s="13" t="s">
        <v>12</v>
      </c>
      <c r="G9" s="13" t="s">
        <v>13</v>
      </c>
      <c r="H9" s="14"/>
      <c r="I9" s="13"/>
    </row>
    <row r="10" spans="2:9" ht="105" customHeight="1" x14ac:dyDescent="0.2">
      <c r="B10" s="12" t="s">
        <v>14</v>
      </c>
      <c r="C10" s="15" t="s">
        <v>15</v>
      </c>
      <c r="D10" s="15" t="s">
        <v>16</v>
      </c>
      <c r="E10" s="15" t="s">
        <v>17</v>
      </c>
      <c r="F10" s="15" t="s">
        <v>18</v>
      </c>
      <c r="G10" s="15" t="s">
        <v>172</v>
      </c>
      <c r="H10" s="14"/>
      <c r="I10" s="13"/>
    </row>
    <row r="11" spans="2:9" ht="105" customHeight="1" x14ac:dyDescent="0.2">
      <c r="B11" s="12" t="s">
        <v>19</v>
      </c>
      <c r="C11" s="13" t="s">
        <v>20</v>
      </c>
      <c r="D11" s="13" t="s">
        <v>21</v>
      </c>
      <c r="E11" s="13" t="s">
        <v>22</v>
      </c>
      <c r="F11" s="13" t="s">
        <v>23</v>
      </c>
      <c r="G11" s="13" t="s">
        <v>173</v>
      </c>
      <c r="H11" s="14"/>
      <c r="I11" s="13"/>
    </row>
    <row r="12" spans="2:9" ht="105" customHeight="1" x14ac:dyDescent="0.2">
      <c r="B12" s="12" t="s">
        <v>24</v>
      </c>
      <c r="C12" s="13" t="s">
        <v>25</v>
      </c>
      <c r="D12" s="13" t="s">
        <v>26</v>
      </c>
      <c r="E12" s="13" t="s">
        <v>27</v>
      </c>
      <c r="F12" s="13" t="s">
        <v>28</v>
      </c>
      <c r="G12" s="13" t="s">
        <v>29</v>
      </c>
      <c r="H12" s="14"/>
      <c r="I12" s="13"/>
    </row>
    <row r="13" spans="2:9" ht="105" customHeight="1" x14ac:dyDescent="0.2">
      <c r="B13" s="12" t="s">
        <v>30</v>
      </c>
      <c r="C13" s="15" t="s">
        <v>31</v>
      </c>
      <c r="D13" s="15" t="s">
        <v>32</v>
      </c>
      <c r="E13" s="15" t="s">
        <v>33</v>
      </c>
      <c r="F13" s="15" t="s">
        <v>34</v>
      </c>
      <c r="G13" s="15" t="s">
        <v>35</v>
      </c>
      <c r="H13" s="14"/>
      <c r="I13" s="13"/>
    </row>
    <row r="14" spans="2:9" ht="105" customHeight="1" x14ac:dyDescent="0.2">
      <c r="B14" s="12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3" t="s">
        <v>41</v>
      </c>
      <c r="H14" s="14"/>
      <c r="I14" s="13"/>
    </row>
    <row r="15" spans="2:9" ht="105" customHeight="1" x14ac:dyDescent="0.2">
      <c r="B15" s="12" t="s">
        <v>42</v>
      </c>
      <c r="C15" s="15" t="s">
        <v>43</v>
      </c>
      <c r="D15" s="15" t="s">
        <v>44</v>
      </c>
      <c r="E15" s="15" t="s">
        <v>45</v>
      </c>
      <c r="F15" s="15" t="s">
        <v>46</v>
      </c>
      <c r="G15" s="15" t="s">
        <v>47</v>
      </c>
      <c r="H15" s="14"/>
      <c r="I15" s="13"/>
    </row>
    <row r="16" spans="2:9" ht="105" customHeight="1" x14ac:dyDescent="0.2">
      <c r="B16" s="12" t="s">
        <v>48</v>
      </c>
      <c r="C16" s="13" t="s">
        <v>49</v>
      </c>
      <c r="D16" s="13" t="s">
        <v>50</v>
      </c>
      <c r="E16" s="13" t="s">
        <v>51</v>
      </c>
      <c r="F16" s="13" t="s">
        <v>52</v>
      </c>
      <c r="G16" s="13" t="s">
        <v>53</v>
      </c>
      <c r="H16" s="14"/>
      <c r="I16" s="13"/>
    </row>
  </sheetData>
  <mergeCells count="2">
    <mergeCell ref="B2:I2"/>
    <mergeCell ref="B4:I4"/>
  </mergeCells>
  <conditionalFormatting sqref="H9:H16">
    <cfRule type="colorScale" priority="1">
      <colorScale>
        <cfvo type="num" val="1"/>
        <cfvo type="num" val="3"/>
        <cfvo type="num" val="5"/>
        <color rgb="FFF8CBAD"/>
        <color rgb="FFFFF2CC"/>
        <color rgb="FFC6E0B4"/>
      </colorScale>
    </cfRule>
  </conditionalFormatting>
  <dataValidations count="1">
    <dataValidation type="whole" allowBlank="1" errorTitle="Invalid score" error="Score must be 1 to 5" sqref="H9:H16" xr:uid="{00000000-0002-0000-0000-000000000000}">
      <formula1>1</formula1>
      <formula2>5</formula2>
    </dataValidation>
  </dataValidations>
  <printOptions horizontalCentered="1"/>
  <pageMargins left="0.75" right="0.75" top="1" bottom="1" header="0.5" footer="0.5"/>
  <pageSetup fitToHeight="0" orientation="landscape"/>
  <headerFooter>
    <oddHeader>&amp;C&amp;9 &amp;K1B2A4AEvernile Capital  |  TEASER: Quality Rubric  |  Confidential</oddHeader>
    <oddFooter>&amp;R&amp;8 &amp;K6B8299Page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I17"/>
  <sheetViews>
    <sheetView showGridLines="0" zoomScale="94" workbookViewId="0">
      <pane xSplit="2" ySplit="8" topLeftCell="C9" activePane="bottomRight" state="frozen"/>
      <selection pane="topRight"/>
      <selection pane="bottomLeft"/>
      <selection pane="bottomRight" activeCell="G9" sqref="G9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7" width="36" customWidth="1"/>
    <col min="8" max="8" width="8" customWidth="1"/>
    <col min="9" max="9" width="30" customWidth="1"/>
  </cols>
  <sheetData>
    <row r="2" spans="2:9" ht="28" customHeight="1" x14ac:dyDescent="0.2">
      <c r="B2" s="17" t="s">
        <v>54</v>
      </c>
      <c r="C2" s="18"/>
      <c r="D2" s="18"/>
      <c r="E2" s="18"/>
      <c r="F2" s="18"/>
      <c r="G2" s="18"/>
      <c r="H2" s="18"/>
      <c r="I2" s="18"/>
    </row>
    <row r="3" spans="2:9" ht="3" customHeight="1" x14ac:dyDescent="0.2">
      <c r="B3" s="1"/>
      <c r="C3" s="1"/>
      <c r="D3" s="1"/>
      <c r="E3" s="1"/>
      <c r="F3" s="1"/>
      <c r="G3" s="1"/>
      <c r="H3" s="1"/>
      <c r="I3" s="1"/>
    </row>
    <row r="4" spans="2:9" ht="22" customHeight="1" x14ac:dyDescent="0.2">
      <c r="B4" s="19" t="s">
        <v>55</v>
      </c>
      <c r="C4" s="18"/>
      <c r="D4" s="18"/>
      <c r="E4" s="18"/>
      <c r="F4" s="18"/>
      <c r="G4" s="18"/>
      <c r="H4" s="18"/>
      <c r="I4" s="18"/>
    </row>
    <row r="6" spans="2:9" ht="17" x14ac:dyDescent="0.2">
      <c r="B6" s="2" t="s">
        <v>2</v>
      </c>
      <c r="C6" s="3" t="s">
        <v>3</v>
      </c>
      <c r="D6" s="4" t="str">
        <f>IFERROR(AVERAGE(H9:H17),"-")</f>
        <v>-</v>
      </c>
      <c r="E6" s="3" t="s">
        <v>4</v>
      </c>
      <c r="F6" s="5" t="str">
        <f>IF(ISNUMBER(D6),IF(D6&gt;=4.5,"Institutional",IF(D6&gt;=4,"Strong",IF(D6&gt;=3.5,"Solid",IF(D6&gt;=3,"Acceptable",IF(D6&gt;=2,"Rework","Fail"))))),"Pending")</f>
        <v>Pending</v>
      </c>
    </row>
    <row r="8" spans="2:9" ht="30" customHeight="1" x14ac:dyDescent="0.2">
      <c r="B8" s="6" t="s">
        <v>5</v>
      </c>
      <c r="C8" s="7">
        <v>1</v>
      </c>
      <c r="D8" s="8">
        <v>2</v>
      </c>
      <c r="E8" s="9">
        <v>3</v>
      </c>
      <c r="F8" s="10">
        <v>4</v>
      </c>
      <c r="G8" s="11">
        <v>5</v>
      </c>
      <c r="H8" s="6" t="s">
        <v>6</v>
      </c>
      <c r="I8" s="6" t="s">
        <v>7</v>
      </c>
    </row>
    <row r="9" spans="2:9" ht="105" customHeight="1" x14ac:dyDescent="0.2">
      <c r="B9" s="12" t="s">
        <v>56</v>
      </c>
      <c r="C9" s="13" t="s">
        <v>57</v>
      </c>
      <c r="D9" s="13" t="s">
        <v>58</v>
      </c>
      <c r="E9" s="13" t="s">
        <v>59</v>
      </c>
      <c r="F9" s="13" t="s">
        <v>60</v>
      </c>
      <c r="G9" s="13" t="s">
        <v>61</v>
      </c>
      <c r="H9" s="14"/>
      <c r="I9" s="13"/>
    </row>
    <row r="10" spans="2:9" ht="105" customHeight="1" x14ac:dyDescent="0.2">
      <c r="B10" s="12" t="s">
        <v>62</v>
      </c>
      <c r="C10" s="15" t="s">
        <v>63</v>
      </c>
      <c r="D10" s="15" t="s">
        <v>64</v>
      </c>
      <c r="E10" s="15" t="s">
        <v>65</v>
      </c>
      <c r="F10" s="15" t="s">
        <v>66</v>
      </c>
      <c r="G10" s="15" t="s">
        <v>67</v>
      </c>
      <c r="H10" s="14"/>
      <c r="I10" s="13"/>
    </row>
    <row r="11" spans="2:9" ht="105" customHeight="1" x14ac:dyDescent="0.2">
      <c r="B11" s="12" t="s">
        <v>68</v>
      </c>
      <c r="C11" s="13" t="s">
        <v>69</v>
      </c>
      <c r="D11" s="13" t="s">
        <v>70</v>
      </c>
      <c r="E11" s="13" t="s">
        <v>71</v>
      </c>
      <c r="F11" s="13" t="s">
        <v>72</v>
      </c>
      <c r="G11" s="13" t="s">
        <v>73</v>
      </c>
      <c r="H11" s="14"/>
      <c r="I11" s="13"/>
    </row>
    <row r="12" spans="2:9" ht="105" customHeight="1" x14ac:dyDescent="0.2">
      <c r="B12" s="12" t="s">
        <v>74</v>
      </c>
      <c r="C12" s="15" t="s">
        <v>75</v>
      </c>
      <c r="D12" s="15" t="s">
        <v>76</v>
      </c>
      <c r="E12" s="15" t="s">
        <v>77</v>
      </c>
      <c r="F12" s="15" t="s">
        <v>78</v>
      </c>
      <c r="G12" s="15" t="s">
        <v>79</v>
      </c>
      <c r="H12" s="14"/>
      <c r="I12" s="13"/>
    </row>
    <row r="13" spans="2:9" ht="105" customHeight="1" x14ac:dyDescent="0.2">
      <c r="B13" s="12" t="s">
        <v>80</v>
      </c>
      <c r="C13" s="13" t="s">
        <v>81</v>
      </c>
      <c r="D13" s="13" t="s">
        <v>82</v>
      </c>
      <c r="E13" s="13" t="s">
        <v>83</v>
      </c>
      <c r="F13" s="13" t="s">
        <v>84</v>
      </c>
      <c r="G13" s="13" t="s">
        <v>85</v>
      </c>
      <c r="H13" s="14"/>
      <c r="I13" s="13"/>
    </row>
    <row r="14" spans="2:9" ht="105" customHeight="1" x14ac:dyDescent="0.2">
      <c r="B14" s="12" t="s">
        <v>86</v>
      </c>
      <c r="C14" s="15" t="s">
        <v>87</v>
      </c>
      <c r="D14" s="15" t="s">
        <v>88</v>
      </c>
      <c r="E14" s="15" t="s">
        <v>89</v>
      </c>
      <c r="F14" s="15" t="s">
        <v>90</v>
      </c>
      <c r="G14" s="15" t="s">
        <v>91</v>
      </c>
      <c r="H14" s="14"/>
      <c r="I14" s="13"/>
    </row>
    <row r="15" spans="2:9" ht="105" customHeight="1" x14ac:dyDescent="0.2">
      <c r="B15" s="12" t="s">
        <v>92</v>
      </c>
      <c r="C15" s="13" t="s">
        <v>93</v>
      </c>
      <c r="D15" s="13" t="s">
        <v>94</v>
      </c>
      <c r="E15" s="13" t="s">
        <v>95</v>
      </c>
      <c r="F15" s="13" t="s">
        <v>96</v>
      </c>
      <c r="G15" s="13" t="s">
        <v>97</v>
      </c>
      <c r="H15" s="14"/>
      <c r="I15" s="13"/>
    </row>
    <row r="16" spans="2:9" ht="105" customHeight="1" x14ac:dyDescent="0.2">
      <c r="B16" s="12" t="s">
        <v>98</v>
      </c>
      <c r="C16" s="13" t="s">
        <v>99</v>
      </c>
      <c r="D16" s="13" t="s">
        <v>100</v>
      </c>
      <c r="E16" s="13" t="s">
        <v>101</v>
      </c>
      <c r="F16" s="13" t="s">
        <v>102</v>
      </c>
      <c r="G16" s="13" t="s">
        <v>103</v>
      </c>
      <c r="H16" s="14"/>
      <c r="I16" s="13"/>
    </row>
    <row r="17" spans="2:9" ht="105" customHeight="1" x14ac:dyDescent="0.2">
      <c r="B17" s="12" t="s">
        <v>104</v>
      </c>
      <c r="C17" s="15" t="s">
        <v>105</v>
      </c>
      <c r="D17" s="15" t="s">
        <v>106</v>
      </c>
      <c r="E17" s="15" t="s">
        <v>107</v>
      </c>
      <c r="F17" s="15" t="s">
        <v>108</v>
      </c>
      <c r="G17" s="15" t="s">
        <v>109</v>
      </c>
      <c r="H17" s="14"/>
      <c r="I17" s="13"/>
    </row>
  </sheetData>
  <mergeCells count="2">
    <mergeCell ref="B2:I2"/>
    <mergeCell ref="B4:I4"/>
  </mergeCells>
  <conditionalFormatting sqref="H9:H17">
    <cfRule type="colorScale" priority="1">
      <colorScale>
        <cfvo type="num" val="1"/>
        <cfvo type="num" val="3"/>
        <cfvo type="num" val="5"/>
        <color rgb="FFF8CBAD"/>
        <color rgb="FFFFF2CC"/>
        <color rgb="FFC6E0B4"/>
      </colorScale>
    </cfRule>
  </conditionalFormatting>
  <dataValidations count="1">
    <dataValidation type="whole" allowBlank="1" errorTitle="Invalid score" error="Score must be 1 to 5" sqref="H9:H17" xr:uid="{00000000-0002-0000-0100-000000000000}">
      <formula1>1</formula1>
      <formula2>5</formula2>
    </dataValidation>
  </dataValidations>
  <printOptions horizontalCentered="1"/>
  <pageMargins left="0.75" right="0.75" top="1" bottom="1" header="0.5" footer="0.5"/>
  <pageSetup fitToHeight="0" orientation="landscape"/>
  <headerFooter>
    <oddHeader>&amp;C&amp;9 &amp;K1B2A4AEvernile Capital  |  INFORMATION MEMORANDUM (IM/CIM): Quality Rubric  |  Confidential</oddHeader>
    <oddFooter>&amp;R&amp;8 &amp;K6B8299Page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18"/>
  <sheetViews>
    <sheetView showGridLines="0" tabSelected="1" workbookViewId="0">
      <pane xSplit="2" ySplit="8" topLeftCell="C9" activePane="bottomRight" state="frozen"/>
      <selection pane="topRight"/>
      <selection pane="bottomLeft"/>
      <selection pane="bottomRight" activeCell="G9" sqref="G9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7" width="36" customWidth="1"/>
    <col min="8" max="8" width="8" customWidth="1"/>
    <col min="9" max="9" width="30" customWidth="1"/>
  </cols>
  <sheetData>
    <row r="2" spans="2:9" ht="28" customHeight="1" x14ac:dyDescent="0.2">
      <c r="B2" s="17" t="s">
        <v>110</v>
      </c>
      <c r="C2" s="18"/>
      <c r="D2" s="18"/>
      <c r="E2" s="18"/>
      <c r="F2" s="18"/>
      <c r="G2" s="18"/>
      <c r="H2" s="18"/>
      <c r="I2" s="18"/>
    </row>
    <row r="3" spans="2:9" ht="3" customHeight="1" x14ac:dyDescent="0.2">
      <c r="B3" s="1"/>
      <c r="C3" s="1"/>
      <c r="D3" s="1"/>
      <c r="E3" s="1"/>
      <c r="F3" s="1"/>
      <c r="G3" s="1"/>
      <c r="H3" s="1"/>
      <c r="I3" s="1"/>
    </row>
    <row r="4" spans="2:9" ht="22" customHeight="1" x14ac:dyDescent="0.2">
      <c r="B4" s="19" t="s">
        <v>111</v>
      </c>
      <c r="C4" s="18"/>
      <c r="D4" s="18"/>
      <c r="E4" s="18"/>
      <c r="F4" s="18"/>
      <c r="G4" s="18"/>
      <c r="H4" s="18"/>
      <c r="I4" s="18"/>
    </row>
    <row r="6" spans="2:9" ht="17" x14ac:dyDescent="0.2">
      <c r="B6" s="2" t="s">
        <v>2</v>
      </c>
      <c r="C6" s="3" t="s">
        <v>3</v>
      </c>
      <c r="D6" s="4" t="str">
        <f>IFERROR(AVERAGE(H9:H18),"-")</f>
        <v>-</v>
      </c>
      <c r="E6" s="3" t="s">
        <v>4</v>
      </c>
      <c r="F6" s="5" t="str">
        <f>IF(ISNUMBER(D6),IF(D6&gt;=4.5,"Institutional",IF(D6&gt;=4,"Strong",IF(D6&gt;=3.5,"Solid",IF(D6&gt;=3,"Acceptable",IF(D6&gt;=2,"Rework","Fail"))))),"Pending")</f>
        <v>Pending</v>
      </c>
    </row>
    <row r="8" spans="2:9" ht="30" customHeight="1" x14ac:dyDescent="0.2">
      <c r="B8" s="6" t="s">
        <v>5</v>
      </c>
      <c r="C8" s="7">
        <v>1</v>
      </c>
      <c r="D8" s="8">
        <v>2</v>
      </c>
      <c r="E8" s="9">
        <v>3</v>
      </c>
      <c r="F8" s="10">
        <v>4</v>
      </c>
      <c r="G8" s="11">
        <v>5</v>
      </c>
      <c r="H8" s="6" t="s">
        <v>6</v>
      </c>
      <c r="I8" s="6" t="s">
        <v>7</v>
      </c>
    </row>
    <row r="9" spans="2:9" ht="105" customHeight="1" x14ac:dyDescent="0.2">
      <c r="B9" s="12" t="s">
        <v>112</v>
      </c>
      <c r="C9" s="13" t="s">
        <v>113</v>
      </c>
      <c r="D9" s="13" t="s">
        <v>114</v>
      </c>
      <c r="E9" s="13" t="s">
        <v>115</v>
      </c>
      <c r="F9" s="13" t="s">
        <v>116</v>
      </c>
      <c r="G9" s="13" t="s">
        <v>117</v>
      </c>
      <c r="H9" s="14"/>
      <c r="I9" s="13"/>
    </row>
    <row r="10" spans="2:9" ht="105" customHeight="1" x14ac:dyDescent="0.2">
      <c r="B10" s="12" t="s">
        <v>118</v>
      </c>
      <c r="C10" s="15" t="s">
        <v>119</v>
      </c>
      <c r="D10" s="15" t="s">
        <v>120</v>
      </c>
      <c r="E10" s="15" t="s">
        <v>121</v>
      </c>
      <c r="F10" s="15" t="s">
        <v>122</v>
      </c>
      <c r="G10" s="15" t="s">
        <v>123</v>
      </c>
      <c r="H10" s="14"/>
      <c r="I10" s="13"/>
    </row>
    <row r="11" spans="2:9" ht="105" customHeight="1" x14ac:dyDescent="0.2">
      <c r="B11" s="12" t="s">
        <v>124</v>
      </c>
      <c r="C11" s="13" t="s">
        <v>125</v>
      </c>
      <c r="D11" s="13" t="s">
        <v>126</v>
      </c>
      <c r="E11" s="13" t="s">
        <v>127</v>
      </c>
      <c r="F11" s="13" t="s">
        <v>128</v>
      </c>
      <c r="G11" s="13" t="s">
        <v>129</v>
      </c>
      <c r="H11" s="14"/>
      <c r="I11" s="13"/>
    </row>
    <row r="12" spans="2:9" ht="105" customHeight="1" x14ac:dyDescent="0.2">
      <c r="B12" s="12" t="s">
        <v>130</v>
      </c>
      <c r="C12" s="15" t="s">
        <v>131</v>
      </c>
      <c r="D12" s="15" t="s">
        <v>132</v>
      </c>
      <c r="E12" s="15" t="s">
        <v>133</v>
      </c>
      <c r="F12" s="15" t="s">
        <v>134</v>
      </c>
      <c r="G12" s="15" t="s">
        <v>135</v>
      </c>
      <c r="H12" s="14"/>
      <c r="I12" s="13"/>
    </row>
    <row r="13" spans="2:9" ht="105" customHeight="1" x14ac:dyDescent="0.2">
      <c r="B13" s="12" t="s">
        <v>136</v>
      </c>
      <c r="C13" s="13" t="s">
        <v>137</v>
      </c>
      <c r="D13" s="13" t="s">
        <v>138</v>
      </c>
      <c r="E13" s="13" t="s">
        <v>139</v>
      </c>
      <c r="F13" s="13" t="s">
        <v>140</v>
      </c>
      <c r="G13" s="13" t="s">
        <v>141</v>
      </c>
      <c r="H13" s="14"/>
      <c r="I13" s="13"/>
    </row>
    <row r="14" spans="2:9" ht="105" customHeight="1" x14ac:dyDescent="0.2">
      <c r="B14" s="12" t="s">
        <v>142</v>
      </c>
      <c r="C14" s="15" t="s">
        <v>143</v>
      </c>
      <c r="D14" s="15" t="s">
        <v>144</v>
      </c>
      <c r="E14" s="15" t="s">
        <v>145</v>
      </c>
      <c r="F14" s="15" t="s">
        <v>146</v>
      </c>
      <c r="G14" s="15" t="s">
        <v>147</v>
      </c>
      <c r="H14" s="14"/>
      <c r="I14" s="13"/>
    </row>
    <row r="15" spans="2:9" ht="105" customHeight="1" x14ac:dyDescent="0.2">
      <c r="B15" s="12" t="s">
        <v>148</v>
      </c>
      <c r="C15" s="13" t="s">
        <v>149</v>
      </c>
      <c r="D15" s="13" t="s">
        <v>150</v>
      </c>
      <c r="E15" s="13" t="s">
        <v>151</v>
      </c>
      <c r="F15" s="13" t="s">
        <v>152</v>
      </c>
      <c r="G15" s="13" t="s">
        <v>153</v>
      </c>
      <c r="H15" s="14"/>
      <c r="I15" s="13"/>
    </row>
    <row r="16" spans="2:9" ht="105" customHeight="1" x14ac:dyDescent="0.2">
      <c r="B16" s="12" t="s">
        <v>154</v>
      </c>
      <c r="C16" s="15" t="s">
        <v>155</v>
      </c>
      <c r="D16" s="15" t="s">
        <v>156</v>
      </c>
      <c r="E16" s="15" t="s">
        <v>157</v>
      </c>
      <c r="F16" s="15" t="s">
        <v>158</v>
      </c>
      <c r="G16" s="15" t="s">
        <v>159</v>
      </c>
      <c r="H16" s="14"/>
      <c r="I16" s="13"/>
    </row>
    <row r="17" spans="2:9" ht="105" customHeight="1" x14ac:dyDescent="0.2">
      <c r="B17" s="12" t="s">
        <v>160</v>
      </c>
      <c r="C17" s="13" t="s">
        <v>161</v>
      </c>
      <c r="D17" s="13" t="s">
        <v>162</v>
      </c>
      <c r="E17" s="13" t="s">
        <v>163</v>
      </c>
      <c r="F17" s="13" t="s">
        <v>164</v>
      </c>
      <c r="G17" s="13" t="s">
        <v>165</v>
      </c>
      <c r="H17" s="14"/>
      <c r="I17" s="13"/>
    </row>
    <row r="18" spans="2:9" ht="105" customHeight="1" x14ac:dyDescent="0.2">
      <c r="B18" s="12" t="s">
        <v>166</v>
      </c>
      <c r="C18" s="15" t="s">
        <v>167</v>
      </c>
      <c r="D18" s="15" t="s">
        <v>168</v>
      </c>
      <c r="E18" s="15" t="s">
        <v>169</v>
      </c>
      <c r="F18" s="15" t="s">
        <v>170</v>
      </c>
      <c r="G18" s="15" t="s">
        <v>171</v>
      </c>
      <c r="H18" s="14"/>
      <c r="I18" s="13"/>
    </row>
  </sheetData>
  <mergeCells count="2">
    <mergeCell ref="B2:I2"/>
    <mergeCell ref="B4:I4"/>
  </mergeCells>
  <conditionalFormatting sqref="H9:H18">
    <cfRule type="colorScale" priority="1">
      <colorScale>
        <cfvo type="num" val="1"/>
        <cfvo type="num" val="3"/>
        <cfvo type="num" val="5"/>
        <color rgb="FFF8CBAD"/>
        <color rgb="FFFFF2CC"/>
        <color rgb="FFC6E0B4"/>
      </colorScale>
    </cfRule>
  </conditionalFormatting>
  <dataValidations count="1">
    <dataValidation type="whole" allowBlank="1" errorTitle="Invalid score" error="Score must be 1 to 5" sqref="H9:H18" xr:uid="{00000000-0002-0000-0200-000000000000}">
      <formula1>1</formula1>
      <formula2>5</formula2>
    </dataValidation>
  </dataValidations>
  <printOptions horizontalCentered="1"/>
  <pageMargins left="0.75" right="0.75" top="1" bottom="1" header="0.5" footer="0.5"/>
  <pageSetup fitToHeight="0" orientation="landscape"/>
  <headerFooter>
    <oddHeader>&amp;C&amp;9 &amp;K1B2A4AEvernile Capital  |  FINANCIAL MODEL: Quality Rubric  |  Confidential</oddHeader>
    <oddFooter>&amp;R&amp;8 &amp;K6B8299Page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Teaser</vt:lpstr>
      <vt:lpstr>IM_CIM</vt:lpstr>
      <vt:lpstr>Financial_Model</vt:lpstr>
      <vt:lpstr>Financial_Model!Print_Titles</vt:lpstr>
      <vt:lpstr>IM_CIM!Print_Titles</vt:lpstr>
      <vt:lpstr>Teaser!Print_Titles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Jhaveri</cp:lastModifiedBy>
  <dcterms:created xsi:type="dcterms:W3CDTF">2026-07-31T06:24:41Z</dcterms:created>
  <dcterms:modified xsi:type="dcterms:W3CDTF">2026-07-31T06:35:04Z</dcterms:modified>
</cp:coreProperties>
</file>